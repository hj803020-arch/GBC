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박사\박사학위\2심\"/>
    </mc:Choice>
  </mc:AlternateContent>
  <xr:revisionPtr revIDLastSave="0" documentId="13_ncr:1_{F2E995E2-3C22-4905-83C7-374E1B28145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nput_Data" sheetId="1" r:id="rId1"/>
    <sheet name="Computation" sheetId="2" r:id="rId2"/>
    <sheet name="Chart" sheetId="3" r:id="rId3"/>
  </sheets>
  <definedNames>
    <definedName name="k">Input_Data!$B$6</definedName>
    <definedName name="TL">Input_Data!$B$4</definedName>
    <definedName name="uc">Input_Data!$B$5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F15" i="2"/>
  <c r="G15" i="2" s="1"/>
  <c r="E15" i="2"/>
  <c r="D15" i="2"/>
  <c r="C15" i="2"/>
  <c r="B15" i="2"/>
  <c r="F14" i="2"/>
  <c r="G14" i="2" s="1"/>
  <c r="E14" i="2"/>
  <c r="D14" i="2"/>
  <c r="C14" i="2"/>
  <c r="B14" i="2"/>
  <c r="F13" i="2"/>
  <c r="G13" i="2" s="1"/>
  <c r="E13" i="2"/>
  <c r="D13" i="2"/>
  <c r="C13" i="2"/>
  <c r="B13" i="2"/>
  <c r="F12" i="2"/>
  <c r="G12" i="2" s="1"/>
  <c r="E12" i="2"/>
  <c r="D12" i="2"/>
  <c r="C12" i="2"/>
  <c r="B12" i="2"/>
  <c r="F11" i="2"/>
  <c r="G11" i="2" s="1"/>
  <c r="E11" i="2"/>
  <c r="H11" i="2" s="1"/>
  <c r="D11" i="2"/>
  <c r="C11" i="2"/>
  <c r="B11" i="2"/>
  <c r="F10" i="2"/>
  <c r="G10" i="2" s="1"/>
  <c r="E10" i="2"/>
  <c r="H10" i="2" s="1"/>
  <c r="D10" i="2"/>
  <c r="C10" i="2"/>
  <c r="B10" i="2"/>
  <c r="F9" i="2"/>
  <c r="G9" i="2" s="1"/>
  <c r="E9" i="2"/>
  <c r="D9" i="2"/>
  <c r="C9" i="2"/>
  <c r="B9" i="2"/>
  <c r="F8" i="2"/>
  <c r="G8" i="2" s="1"/>
  <c r="E8" i="2"/>
  <c r="H8" i="2" s="1"/>
  <c r="D8" i="2"/>
  <c r="C8" i="2"/>
  <c r="B8" i="2"/>
  <c r="F7" i="2"/>
  <c r="G7" i="2" s="1"/>
  <c r="E7" i="2"/>
  <c r="H7" i="2" s="1"/>
  <c r="D7" i="2"/>
  <c r="C7" i="2"/>
  <c r="B7" i="2"/>
  <c r="F6" i="2"/>
  <c r="G6" i="2" s="1"/>
  <c r="E6" i="2"/>
  <c r="D6" i="2"/>
  <c r="C6" i="2"/>
  <c r="B3" i="2"/>
  <c r="B2" i="2"/>
  <c r="D2" i="2" s="1"/>
  <c r="H13" i="2" l="1"/>
  <c r="H6" i="2"/>
  <c r="H9" i="2"/>
  <c r="H14" i="2"/>
  <c r="H15" i="2"/>
  <c r="H12" i="2"/>
</calcChain>
</file>

<file path=xl/sharedStrings.xml><?xml version="1.0" encoding="utf-8"?>
<sst xmlns="http://schemas.openxmlformats.org/spreadsheetml/2006/main" count="22" uniqueCount="20">
  <si>
    <t>n</t>
  </si>
  <si>
    <t>Part A (mm)</t>
  </si>
  <si>
    <t>Part B (mm)</t>
  </si>
  <si>
    <t>Part C (mm)</t>
  </si>
  <si>
    <t>GBC Excel (Thesis Data) — GBC-only Control Chart (No 3σ) [Fixed row refs]</t>
  </si>
  <si>
    <t>Parameters</t>
  </si>
  <si>
    <t>TL (Spec, mm)</t>
  </si>
  <si>
    <t>uc (combined, mm)</t>
  </si>
  <si>
    <t>k (coverage)</t>
  </si>
  <si>
    <t>Computed parameters and helper columns</t>
  </si>
  <si>
    <t>w = k*uc (mm)</t>
  </si>
  <si>
    <t>AL = TL - w (mm)</t>
  </si>
  <si>
    <t>w (µm)</t>
  </si>
  <si>
    <t>TL</t>
  </si>
  <si>
    <t>AL</t>
  </si>
  <si>
    <t>Base (AL)</t>
  </si>
  <si>
    <t>Band (TL-AL)</t>
  </si>
  <si>
    <t>TL (Spec) = 0.1500</t>
  </si>
  <si>
    <t>Part A (mm)</t>
    <phoneticPr fontId="2" type="noConversion"/>
  </si>
  <si>
    <t>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</si>
</sst>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Computation!$G$4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cat>
            <c:numRef>
              <c:f>Computation!$A$6:$A$15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Computation!$G$6:$G$15</c:f>
              <c:numCache>
                <c:formatCode>0.00000</c:formatCode>
                <c:ptCount val="10"/>
                <c:pt idx="0">
                  <c:v>0.14482999999999999</c:v>
                </c:pt>
                <c:pt idx="1">
                  <c:v>0.14482999999999999</c:v>
                </c:pt>
                <c:pt idx="2">
                  <c:v>0.14482999999999999</c:v>
                </c:pt>
                <c:pt idx="3">
                  <c:v>0.14482999999999999</c:v>
                </c:pt>
                <c:pt idx="4">
                  <c:v>0.14482999999999999</c:v>
                </c:pt>
                <c:pt idx="5">
                  <c:v>0.14482999999999999</c:v>
                </c:pt>
                <c:pt idx="6">
                  <c:v>0.14482999999999999</c:v>
                </c:pt>
                <c:pt idx="7">
                  <c:v>0.14482999999999999</c:v>
                </c:pt>
                <c:pt idx="8">
                  <c:v>0.14482999999999999</c:v>
                </c:pt>
                <c:pt idx="9">
                  <c:v>0.14482999999999999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1-4808-8054-6B3D6290B455}"/>
            </c:ext>
          </c:extLst>
        </c:ser>
        <c:ser>
          <c:idx val="1"/>
          <c:order val="1"/>
          <c:tx>
            <c:v>GBC guard-band zone (AL ≤ y ≤ TL)</c:v>
          </c:tx>
          <c:spPr>
            <a:solidFill>
              <a:srgbClr val="C4B7A6">
                <a:alpha val="60000"/>
              </a:srgbClr>
            </a:solidFill>
            <a:ln>
              <a:noFill/>
            </a:ln>
          </c:spPr>
          <c:cat>
            <c:numRef>
              <c:f>Computation!$A$6:$A$15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Computation!$H$6:$H$15</c:f>
              <c:numCache>
                <c:formatCode>0.00000</c:formatCode>
                <c:ptCount val="10"/>
                <c:pt idx="0">
                  <c:v>5.1700000000000079E-3</c:v>
                </c:pt>
                <c:pt idx="1">
                  <c:v>5.1700000000000079E-3</c:v>
                </c:pt>
                <c:pt idx="2">
                  <c:v>5.1700000000000079E-3</c:v>
                </c:pt>
                <c:pt idx="3">
                  <c:v>5.1700000000000079E-3</c:v>
                </c:pt>
                <c:pt idx="4">
                  <c:v>5.1700000000000079E-3</c:v>
                </c:pt>
                <c:pt idx="5">
                  <c:v>5.1700000000000079E-3</c:v>
                </c:pt>
                <c:pt idx="6">
                  <c:v>5.1700000000000079E-3</c:v>
                </c:pt>
                <c:pt idx="7">
                  <c:v>5.1700000000000079E-3</c:v>
                </c:pt>
                <c:pt idx="8">
                  <c:v>5.1700000000000079E-3</c:v>
                </c:pt>
                <c:pt idx="9">
                  <c:v>5.1700000000000079E-3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1-4808-8054-6B3D6290B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areaChart>
      <c:catAx>
        <c:axId val="5001000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0.00000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GBC (Spec − w) Control Chart: Acceptance Regions with Bottom Legend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Computation!$B$4</c:f>
              <c:strCache>
                <c:ptCount val="1"/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numRef>
              <c:f>Computation!$A$6:$A$15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Computation!$B$6:$B$15</c:f>
              <c:numCache>
                <c:formatCode>0.00000</c:formatCode>
                <c:ptCount val="10"/>
                <c:pt idx="0">
                  <c:v>0.16009999999999999</c:v>
                </c:pt>
                <c:pt idx="1">
                  <c:v>0.16170000000000001</c:v>
                </c:pt>
                <c:pt idx="2">
                  <c:v>0.1636</c:v>
                </c:pt>
                <c:pt idx="3">
                  <c:v>0.15989999999999999</c:v>
                </c:pt>
                <c:pt idx="4">
                  <c:v>0.15959999999999999</c:v>
                </c:pt>
                <c:pt idx="5">
                  <c:v>0.15970000000000001</c:v>
                </c:pt>
                <c:pt idx="6">
                  <c:v>0.15720000000000001</c:v>
                </c:pt>
                <c:pt idx="7">
                  <c:v>0.15670000000000001</c:v>
                </c:pt>
                <c:pt idx="8">
                  <c:v>0.16070000000000001</c:v>
                </c:pt>
                <c:pt idx="9">
                  <c:v>0.159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BA-4AE0-858B-C0503C973554}"/>
            </c:ext>
          </c:extLst>
        </c:ser>
        <c:ser>
          <c:idx val="1"/>
          <c:order val="1"/>
          <c:tx>
            <c:strRef>
              <c:f>Computation!$C$4</c:f>
              <c:strCache>
                <c:ptCount val="1"/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numRef>
              <c:f>Computation!$A$6:$A$15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Computation!$C$6:$C$15</c:f>
              <c:numCache>
                <c:formatCode>0.00000</c:formatCode>
                <c:ptCount val="10"/>
                <c:pt idx="0">
                  <c:v>9.4200000000000006E-2</c:v>
                </c:pt>
                <c:pt idx="1">
                  <c:v>9.2200000000000004E-2</c:v>
                </c:pt>
                <c:pt idx="2">
                  <c:v>9.2899999999999996E-2</c:v>
                </c:pt>
                <c:pt idx="3">
                  <c:v>9.3100000000000002E-2</c:v>
                </c:pt>
                <c:pt idx="4">
                  <c:v>9.3600000000000003E-2</c:v>
                </c:pt>
                <c:pt idx="5">
                  <c:v>9.06E-2</c:v>
                </c:pt>
                <c:pt idx="6">
                  <c:v>9.6000000000000002E-2</c:v>
                </c:pt>
                <c:pt idx="7">
                  <c:v>9.1800000000000007E-2</c:v>
                </c:pt>
                <c:pt idx="8">
                  <c:v>9.2899999999999996E-2</c:v>
                </c:pt>
                <c:pt idx="9">
                  <c:v>9.2399999999999996E-2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BA-4AE0-858B-C0503C973554}"/>
            </c:ext>
          </c:extLst>
        </c:ser>
        <c:ser>
          <c:idx val="2"/>
          <c:order val="2"/>
          <c:tx>
            <c:strRef>
              <c:f>Computation!$D$4</c:f>
              <c:strCache>
                <c:ptCount val="1"/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numRef>
              <c:f>Computation!$A$6:$A$15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Computation!$D$6:$D$15</c:f>
              <c:numCache>
                <c:formatCode>0.00000</c:formatCode>
                <c:ptCount val="10"/>
                <c:pt idx="0">
                  <c:v>0.1331</c:v>
                </c:pt>
                <c:pt idx="1">
                  <c:v>0.13300000000000001</c:v>
                </c:pt>
                <c:pt idx="2">
                  <c:v>0.13320000000000001</c:v>
                </c:pt>
                <c:pt idx="3">
                  <c:v>0.1401</c:v>
                </c:pt>
                <c:pt idx="4">
                  <c:v>0.13469999999999999</c:v>
                </c:pt>
                <c:pt idx="5">
                  <c:v>0.13389999999999999</c:v>
                </c:pt>
                <c:pt idx="6">
                  <c:v>0.14019999999999999</c:v>
                </c:pt>
                <c:pt idx="7">
                  <c:v>0.1414</c:v>
                </c:pt>
                <c:pt idx="8">
                  <c:v>0.14000000000000001</c:v>
                </c:pt>
                <c:pt idx="9">
                  <c:v>0.1401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BA-4AE0-858B-C0503C973554}"/>
            </c:ext>
          </c:extLst>
        </c:ser>
        <c:ser>
          <c:idx val="3"/>
          <c:order val="3"/>
          <c:tx>
            <c:strRef>
              <c:f>Computation!$M$2</c:f>
              <c:strCache>
                <c:ptCount val="1"/>
                <c:pt idx="0">
                  <c:v>TL (Spec) = 0.1500</c:v>
                </c:pt>
              </c:strCache>
            </c:strRef>
          </c:tx>
          <c:spPr>
            <a:ln w="15875">
              <a:prstDash val="dash"/>
            </a:ln>
          </c:spPr>
          <c:marker>
            <c:symbol val="none"/>
          </c:marker>
          <c:cat>
            <c:numRef>
              <c:f>Computation!$A$6:$A$15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Computation!$E$6:$E$15</c:f>
              <c:numCache>
                <c:formatCode>0.00000</c:formatCode>
                <c:ptCount val="10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BA-4AE0-858B-C0503C973554}"/>
            </c:ext>
          </c:extLst>
        </c:ser>
        <c:ser>
          <c:idx val="4"/>
          <c:order val="4"/>
          <c:tx>
            <c:strRef>
              <c:f>Computation!$M$1</c:f>
              <c:strCache>
                <c:ptCount val="1"/>
                <c:pt idx="0">
                  <c:v>w</c:v>
                </c:pt>
              </c:strCache>
            </c:strRef>
          </c:tx>
          <c:spPr>
            <a:ln w="15875">
              <a:prstDash val="dash"/>
            </a:ln>
          </c:spPr>
          <c:marker>
            <c:symbol val="none"/>
          </c:marker>
          <c:cat>
            <c:numRef>
              <c:f>Computation!$A$6:$A$15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Computation!$F$6:$F$15</c:f>
              <c:numCache>
                <c:formatCode>0.00000</c:formatCode>
                <c:ptCount val="10"/>
                <c:pt idx="0">
                  <c:v>0.14482999999999999</c:v>
                </c:pt>
                <c:pt idx="1">
                  <c:v>0.14482999999999999</c:v>
                </c:pt>
                <c:pt idx="2">
                  <c:v>0.14482999999999999</c:v>
                </c:pt>
                <c:pt idx="3">
                  <c:v>0.14482999999999999</c:v>
                </c:pt>
                <c:pt idx="4">
                  <c:v>0.14482999999999999</c:v>
                </c:pt>
                <c:pt idx="5">
                  <c:v>0.14482999999999999</c:v>
                </c:pt>
                <c:pt idx="6">
                  <c:v>0.14482999999999999</c:v>
                </c:pt>
                <c:pt idx="7">
                  <c:v>0.14482999999999999</c:v>
                </c:pt>
                <c:pt idx="8">
                  <c:v>0.14482999999999999</c:v>
                </c:pt>
                <c:pt idx="9">
                  <c:v>0.14482999999999999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BA-4AE0-858B-C0503C973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Measurement Number (n)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Measurement Value (mm)</a:t>
                </a:r>
              </a:p>
            </c:rich>
          </c:tx>
          <c:overlay val="0"/>
        </c:title>
        <c:numFmt formatCode="0.00000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</xdr:row>
      <xdr:rowOff>0</xdr:rowOff>
    </xdr:from>
    <xdr:to>
      <xdr:col>15</xdr:col>
      <xdr:colOff>514350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25" sqref="C25"/>
    </sheetView>
  </sheetViews>
  <sheetFormatPr defaultRowHeight="17.399999999999999" x14ac:dyDescent="0.4"/>
  <cols>
    <col min="1" max="1" width="12.5" customWidth="1"/>
    <col min="2" max="4" width="14.69921875" style="1" customWidth="1"/>
  </cols>
  <sheetData>
    <row r="1" spans="1:4" x14ac:dyDescent="0.4">
      <c r="A1" t="s">
        <v>4</v>
      </c>
    </row>
    <row r="3" spans="1:4" x14ac:dyDescent="0.4">
      <c r="A3" t="s">
        <v>5</v>
      </c>
    </row>
    <row r="4" spans="1:4" x14ac:dyDescent="0.4">
      <c r="A4" t="s">
        <v>6</v>
      </c>
      <c r="B4" s="1">
        <v>0.15</v>
      </c>
    </row>
    <row r="5" spans="1:4" x14ac:dyDescent="0.4">
      <c r="A5" t="s">
        <v>7</v>
      </c>
      <c r="B5" s="1">
        <v>2.5850000000000001E-3</v>
      </c>
    </row>
    <row r="6" spans="1:4" x14ac:dyDescent="0.4">
      <c r="A6" t="s">
        <v>8</v>
      </c>
      <c r="B6" s="1">
        <v>2</v>
      </c>
    </row>
    <row r="7" spans="1:4" x14ac:dyDescent="0.4">
      <c r="B7" s="2" t="s">
        <v>18</v>
      </c>
      <c r="C7" s="2" t="s">
        <v>2</v>
      </c>
      <c r="D7" s="2" t="s">
        <v>3</v>
      </c>
    </row>
    <row r="8" spans="1:4" x14ac:dyDescent="0.4">
      <c r="A8">
        <v>1</v>
      </c>
      <c r="B8" s="1">
        <v>0.16009999999999999</v>
      </c>
      <c r="C8" s="1">
        <v>9.4200000000000006E-2</v>
      </c>
      <c r="D8" s="1">
        <v>0.1331</v>
      </c>
    </row>
    <row r="9" spans="1:4" x14ac:dyDescent="0.4">
      <c r="A9">
        <v>2</v>
      </c>
      <c r="B9" s="1">
        <v>0.16170000000000001</v>
      </c>
      <c r="C9" s="1">
        <v>9.2200000000000004E-2</v>
      </c>
      <c r="D9" s="1">
        <v>0.13300000000000001</v>
      </c>
    </row>
    <row r="10" spans="1:4" x14ac:dyDescent="0.4">
      <c r="A10">
        <v>3</v>
      </c>
      <c r="B10" s="1">
        <v>0.1636</v>
      </c>
      <c r="C10" s="1">
        <v>9.2899999999999996E-2</v>
      </c>
      <c r="D10" s="1">
        <v>0.13320000000000001</v>
      </c>
    </row>
    <row r="11" spans="1:4" x14ac:dyDescent="0.4">
      <c r="A11">
        <v>4</v>
      </c>
      <c r="B11" s="1">
        <v>0.15989999999999999</v>
      </c>
      <c r="C11" s="1">
        <v>9.3100000000000002E-2</v>
      </c>
      <c r="D11" s="1">
        <v>0.1401</v>
      </c>
    </row>
    <row r="12" spans="1:4" x14ac:dyDescent="0.4">
      <c r="A12">
        <v>5</v>
      </c>
      <c r="B12" s="1">
        <v>0.15959999999999999</v>
      </c>
      <c r="C12" s="1">
        <v>9.3600000000000003E-2</v>
      </c>
      <c r="D12" s="1">
        <v>0.13469999999999999</v>
      </c>
    </row>
    <row r="13" spans="1:4" x14ac:dyDescent="0.4">
      <c r="A13">
        <v>6</v>
      </c>
      <c r="B13" s="1">
        <v>0.15970000000000001</v>
      </c>
      <c r="C13" s="1">
        <v>9.06E-2</v>
      </c>
      <c r="D13" s="1">
        <v>0.13389999999999999</v>
      </c>
    </row>
    <row r="14" spans="1:4" x14ac:dyDescent="0.4">
      <c r="A14">
        <v>7</v>
      </c>
      <c r="B14" s="1">
        <v>0.15720000000000001</v>
      </c>
      <c r="C14" s="1">
        <v>9.6000000000000002E-2</v>
      </c>
      <c r="D14" s="1">
        <v>0.14019999999999999</v>
      </c>
    </row>
    <row r="15" spans="1:4" x14ac:dyDescent="0.4">
      <c r="A15">
        <v>8</v>
      </c>
      <c r="B15" s="1">
        <v>0.15670000000000001</v>
      </c>
      <c r="C15" s="1">
        <v>9.1800000000000007E-2</v>
      </c>
      <c r="D15" s="1">
        <v>0.1414</v>
      </c>
    </row>
    <row r="16" spans="1:4" x14ac:dyDescent="0.4">
      <c r="A16">
        <v>9</v>
      </c>
      <c r="B16" s="1">
        <v>0.16070000000000001</v>
      </c>
      <c r="C16" s="1">
        <v>9.2899999999999996E-2</v>
      </c>
      <c r="D16" s="1">
        <v>0.14000000000000001</v>
      </c>
    </row>
    <row r="17" spans="1:4" x14ac:dyDescent="0.4">
      <c r="A17">
        <v>10</v>
      </c>
      <c r="B17" s="1">
        <v>0.159</v>
      </c>
      <c r="C17" s="1">
        <v>9.2399999999999996E-2</v>
      </c>
      <c r="D17" s="1">
        <v>0.1401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workbookViewId="0">
      <selection activeCell="G24" sqref="G24"/>
    </sheetView>
  </sheetViews>
  <sheetFormatPr defaultRowHeight="17.399999999999999" x14ac:dyDescent="0.4"/>
  <cols>
    <col min="1" max="8" width="18.69921875" style="1" customWidth="1"/>
  </cols>
  <sheetData>
    <row r="1" spans="1:13" x14ac:dyDescent="0.4">
      <c r="A1" s="1" t="s">
        <v>9</v>
      </c>
      <c r="M1" t="s">
        <v>19</v>
      </c>
    </row>
    <row r="2" spans="1:13" x14ac:dyDescent="0.4">
      <c r="A2" s="1" t="s">
        <v>10</v>
      </c>
      <c r="B2" s="1">
        <f>k*uc</f>
        <v>5.1700000000000001E-3</v>
      </c>
      <c r="C2" s="1" t="s">
        <v>12</v>
      </c>
      <c r="D2" s="1">
        <f>B2*1000</f>
        <v>5.17</v>
      </c>
      <c r="M2" t="s">
        <v>17</v>
      </c>
    </row>
    <row r="3" spans="1:13" x14ac:dyDescent="0.4">
      <c r="A3" s="1" t="s">
        <v>11</v>
      </c>
      <c r="B3" s="1">
        <f>TL - (k*uc)</f>
        <v>0.14482999999999999</v>
      </c>
    </row>
    <row r="5" spans="1:13" x14ac:dyDescent="0.4">
      <c r="A5" s="1" t="s">
        <v>0</v>
      </c>
      <c r="B5" s="1" t="s">
        <v>1</v>
      </c>
      <c r="C5" s="1" t="s">
        <v>2</v>
      </c>
      <c r="D5" s="1" t="s">
        <v>3</v>
      </c>
      <c r="E5" s="1" t="s">
        <v>13</v>
      </c>
      <c r="F5" s="1" t="s">
        <v>14</v>
      </c>
      <c r="G5" s="1" t="s">
        <v>15</v>
      </c>
      <c r="H5" s="1" t="s">
        <v>16</v>
      </c>
    </row>
    <row r="6" spans="1:13" x14ac:dyDescent="0.4">
      <c r="A6" s="3">
        <v>1</v>
      </c>
      <c r="B6" s="1">
        <f>Input_Data!$B$8</f>
        <v>0.16009999999999999</v>
      </c>
      <c r="C6" s="1">
        <f>Input_Data!$C$8</f>
        <v>9.4200000000000006E-2</v>
      </c>
      <c r="D6" s="1">
        <f>Input_Data!$D$8</f>
        <v>0.1331</v>
      </c>
      <c r="E6" s="1">
        <f t="shared" ref="E6:E15" si="0">TL</f>
        <v>0.15</v>
      </c>
      <c r="F6" s="1">
        <f t="shared" ref="F6:F15" si="1">TL - (k*uc)</f>
        <v>0.14482999999999999</v>
      </c>
      <c r="G6" s="1">
        <f t="shared" ref="G6:G15" si="2">F6</f>
        <v>0.14482999999999999</v>
      </c>
      <c r="H6" s="1">
        <f t="shared" ref="H6:H15" si="3">E6-F6</f>
        <v>5.1700000000000079E-3</v>
      </c>
    </row>
    <row r="7" spans="1:13" x14ac:dyDescent="0.4">
      <c r="A7" s="3">
        <v>2</v>
      </c>
      <c r="B7" s="1">
        <f>Input_Data!$B$9</f>
        <v>0.16170000000000001</v>
      </c>
      <c r="C7" s="1">
        <f>Input_Data!$C$9</f>
        <v>9.2200000000000004E-2</v>
      </c>
      <c r="D7" s="1">
        <f>Input_Data!$D$9</f>
        <v>0.13300000000000001</v>
      </c>
      <c r="E7" s="1">
        <f t="shared" si="0"/>
        <v>0.15</v>
      </c>
      <c r="F7" s="1">
        <f t="shared" si="1"/>
        <v>0.14482999999999999</v>
      </c>
      <c r="G7" s="1">
        <f t="shared" si="2"/>
        <v>0.14482999999999999</v>
      </c>
      <c r="H7" s="1">
        <f t="shared" si="3"/>
        <v>5.1700000000000079E-3</v>
      </c>
    </row>
    <row r="8" spans="1:13" x14ac:dyDescent="0.4">
      <c r="A8" s="3">
        <v>3</v>
      </c>
      <c r="B8" s="1">
        <f>Input_Data!$B$10</f>
        <v>0.1636</v>
      </c>
      <c r="C8" s="1">
        <f>Input_Data!$C$10</f>
        <v>9.2899999999999996E-2</v>
      </c>
      <c r="D8" s="1">
        <f>Input_Data!$D$10</f>
        <v>0.13320000000000001</v>
      </c>
      <c r="E8" s="1">
        <f t="shared" si="0"/>
        <v>0.15</v>
      </c>
      <c r="F8" s="1">
        <f t="shared" si="1"/>
        <v>0.14482999999999999</v>
      </c>
      <c r="G8" s="1">
        <f t="shared" si="2"/>
        <v>0.14482999999999999</v>
      </c>
      <c r="H8" s="1">
        <f t="shared" si="3"/>
        <v>5.1700000000000079E-3</v>
      </c>
    </row>
    <row r="9" spans="1:13" x14ac:dyDescent="0.4">
      <c r="A9" s="3">
        <v>4</v>
      </c>
      <c r="B9" s="1">
        <f>Input_Data!$B$11</f>
        <v>0.15989999999999999</v>
      </c>
      <c r="C9" s="1">
        <f>Input_Data!$C$11</f>
        <v>9.3100000000000002E-2</v>
      </c>
      <c r="D9" s="1">
        <f>Input_Data!$D$11</f>
        <v>0.1401</v>
      </c>
      <c r="E9" s="1">
        <f t="shared" si="0"/>
        <v>0.15</v>
      </c>
      <c r="F9" s="1">
        <f t="shared" si="1"/>
        <v>0.14482999999999999</v>
      </c>
      <c r="G9" s="1">
        <f t="shared" si="2"/>
        <v>0.14482999999999999</v>
      </c>
      <c r="H9" s="1">
        <f t="shared" si="3"/>
        <v>5.1700000000000079E-3</v>
      </c>
    </row>
    <row r="10" spans="1:13" x14ac:dyDescent="0.4">
      <c r="A10" s="3">
        <v>5</v>
      </c>
      <c r="B10" s="1">
        <f>Input_Data!$B$12</f>
        <v>0.15959999999999999</v>
      </c>
      <c r="C10" s="1">
        <f>Input_Data!$C$12</f>
        <v>9.3600000000000003E-2</v>
      </c>
      <c r="D10" s="1">
        <f>Input_Data!$D$12</f>
        <v>0.13469999999999999</v>
      </c>
      <c r="E10" s="1">
        <f t="shared" si="0"/>
        <v>0.15</v>
      </c>
      <c r="F10" s="1">
        <f t="shared" si="1"/>
        <v>0.14482999999999999</v>
      </c>
      <c r="G10" s="1">
        <f t="shared" si="2"/>
        <v>0.14482999999999999</v>
      </c>
      <c r="H10" s="1">
        <f t="shared" si="3"/>
        <v>5.1700000000000079E-3</v>
      </c>
    </row>
    <row r="11" spans="1:13" x14ac:dyDescent="0.4">
      <c r="A11" s="3">
        <v>6</v>
      </c>
      <c r="B11" s="1">
        <f>Input_Data!$B$13</f>
        <v>0.15970000000000001</v>
      </c>
      <c r="C11" s="1">
        <f>Input_Data!$C$13</f>
        <v>9.06E-2</v>
      </c>
      <c r="D11" s="1">
        <f>Input_Data!$D$13</f>
        <v>0.13389999999999999</v>
      </c>
      <c r="E11" s="1">
        <f t="shared" si="0"/>
        <v>0.15</v>
      </c>
      <c r="F11" s="1">
        <f t="shared" si="1"/>
        <v>0.14482999999999999</v>
      </c>
      <c r="G11" s="1">
        <f t="shared" si="2"/>
        <v>0.14482999999999999</v>
      </c>
      <c r="H11" s="1">
        <f t="shared" si="3"/>
        <v>5.1700000000000079E-3</v>
      </c>
    </row>
    <row r="12" spans="1:13" x14ac:dyDescent="0.4">
      <c r="A12" s="3">
        <v>7</v>
      </c>
      <c r="B12" s="1">
        <f>Input_Data!$B$14</f>
        <v>0.15720000000000001</v>
      </c>
      <c r="C12" s="1">
        <f>Input_Data!$C$14</f>
        <v>9.6000000000000002E-2</v>
      </c>
      <c r="D12" s="1">
        <f>Input_Data!$D$14</f>
        <v>0.14019999999999999</v>
      </c>
      <c r="E12" s="1">
        <f t="shared" si="0"/>
        <v>0.15</v>
      </c>
      <c r="F12" s="1">
        <f t="shared" si="1"/>
        <v>0.14482999999999999</v>
      </c>
      <c r="G12" s="1">
        <f t="shared" si="2"/>
        <v>0.14482999999999999</v>
      </c>
      <c r="H12" s="1">
        <f t="shared" si="3"/>
        <v>5.1700000000000079E-3</v>
      </c>
    </row>
    <row r="13" spans="1:13" x14ac:dyDescent="0.4">
      <c r="A13" s="3">
        <v>8</v>
      </c>
      <c r="B13" s="1">
        <f>Input_Data!$B$15</f>
        <v>0.15670000000000001</v>
      </c>
      <c r="C13" s="1">
        <f>Input_Data!$C$15</f>
        <v>9.1800000000000007E-2</v>
      </c>
      <c r="D13" s="1">
        <f>Input_Data!$D$15</f>
        <v>0.1414</v>
      </c>
      <c r="E13" s="1">
        <f t="shared" si="0"/>
        <v>0.15</v>
      </c>
      <c r="F13" s="1">
        <f t="shared" si="1"/>
        <v>0.14482999999999999</v>
      </c>
      <c r="G13" s="1">
        <f t="shared" si="2"/>
        <v>0.14482999999999999</v>
      </c>
      <c r="H13" s="1">
        <f t="shared" si="3"/>
        <v>5.1700000000000079E-3</v>
      </c>
    </row>
    <row r="14" spans="1:13" x14ac:dyDescent="0.4">
      <c r="A14" s="3">
        <v>9</v>
      </c>
      <c r="B14" s="1">
        <f>Input_Data!$B$16</f>
        <v>0.16070000000000001</v>
      </c>
      <c r="C14" s="1">
        <f>Input_Data!$C$16</f>
        <v>9.2899999999999996E-2</v>
      </c>
      <c r="D14" s="1">
        <f>Input_Data!$D$16</f>
        <v>0.14000000000000001</v>
      </c>
      <c r="E14" s="1">
        <f t="shared" si="0"/>
        <v>0.15</v>
      </c>
      <c r="F14" s="1">
        <f t="shared" si="1"/>
        <v>0.14482999999999999</v>
      </c>
      <c r="G14" s="1">
        <f t="shared" si="2"/>
        <v>0.14482999999999999</v>
      </c>
      <c r="H14" s="1">
        <f t="shared" si="3"/>
        <v>5.1700000000000079E-3</v>
      </c>
    </row>
    <row r="15" spans="1:13" x14ac:dyDescent="0.4">
      <c r="A15" s="3">
        <v>10</v>
      </c>
      <c r="B15" s="1">
        <f>Input_Data!$B$17</f>
        <v>0.159</v>
      </c>
      <c r="C15" s="1">
        <f>Input_Data!$C$17</f>
        <v>9.2399999999999996E-2</v>
      </c>
      <c r="D15" s="1">
        <f>Input_Data!$D$17</f>
        <v>0.1401</v>
      </c>
      <c r="E15" s="1">
        <f t="shared" si="0"/>
        <v>0.15</v>
      </c>
      <c r="F15" s="1">
        <f t="shared" si="1"/>
        <v>0.14482999999999999</v>
      </c>
      <c r="G15" s="1">
        <f t="shared" si="2"/>
        <v>0.14482999999999999</v>
      </c>
      <c r="H15" s="1">
        <f t="shared" si="3"/>
        <v>5.1700000000000079E-3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J28" sqref="J28"/>
    </sheetView>
  </sheetViews>
  <sheetFormatPr defaultRowHeight="17.399999999999999" x14ac:dyDescent="0.4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Input_Data</vt:lpstr>
      <vt:lpstr>Computation</vt:lpstr>
      <vt:lpstr>Chart</vt:lpstr>
      <vt:lpstr>k</vt:lpstr>
      <vt:lpstr>TL</vt:lpstr>
      <vt:lpstr>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CIS</dc:creator>
  <cp:lastModifiedBy>최인수</cp:lastModifiedBy>
  <dcterms:created xsi:type="dcterms:W3CDTF">2025-10-19T07:29:49Z</dcterms:created>
  <dcterms:modified xsi:type="dcterms:W3CDTF">2025-11-29T02:55:04Z</dcterms:modified>
</cp:coreProperties>
</file>